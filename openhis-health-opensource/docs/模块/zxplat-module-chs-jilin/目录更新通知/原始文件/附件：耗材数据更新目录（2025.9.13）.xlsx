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285"/>
  </bookViews>
  <sheets>
    <sheet name="新增42" sheetId="2" r:id="rId1"/>
    <sheet name="停用6" sheetId="1" r:id="rId2"/>
  </sheets>
  <calcPr calcId="144525"/>
</workbook>
</file>

<file path=xl/sharedStrings.xml><?xml version="1.0" encoding="utf-8"?>
<sst xmlns="http://schemas.openxmlformats.org/spreadsheetml/2006/main" count="529" uniqueCount="210">
  <si>
    <t>国家目录编码</t>
  </si>
  <si>
    <t>医保目录名称</t>
  </si>
  <si>
    <t>开始日期</t>
  </si>
  <si>
    <t>终止日期</t>
  </si>
  <si>
    <t>耗材名称</t>
  </si>
  <si>
    <t>医保通用名代码</t>
  </si>
  <si>
    <t>医保通用名</t>
  </si>
  <si>
    <t>规格</t>
  </si>
  <si>
    <t>耗材分类</t>
  </si>
  <si>
    <t>耗材材质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</si>
  <si>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</si>
  <si>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</si>
  <si>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</si>
  <si>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</si>
  <si>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</si>
  <si>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</si>
  <si>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限制使用范围</t>
  </si>
  <si>
    <t>医保目录超限处理方式</t>
  </si>
  <si>
    <t>医保目录定价上限金额</t>
  </si>
  <si>
    <t>C01030100114077</t>
  </si>
  <si>
    <t>支架类</t>
  </si>
  <si>
    <t>001</t>
  </si>
  <si>
    <t>输尿管支架（带导丝）</t>
  </si>
  <si>
    <t>带导丝/有涂层/其他形状/留置时间＜180天</t>
  </si>
  <si>
    <t>非血管介入治疗类材料-泌尿介入材料-输尿管支架</t>
  </si>
  <si>
    <t>合金</t>
  </si>
  <si>
    <t>08</t>
  </si>
  <si>
    <t>02</t>
  </si>
  <si>
    <t>C01030100114086</t>
  </si>
  <si>
    <t>带导丝/无涂层/其他形状/留置时间＜180天</t>
  </si>
  <si>
    <t>C01030100114088</t>
  </si>
  <si>
    <t>带导丝/无涂层/其他形状/留置时间≥365天</t>
  </si>
  <si>
    <t>C01030100114092</t>
  </si>
  <si>
    <t>输尿管支架（不带导丝）</t>
  </si>
  <si>
    <t>不带导丝/有涂层/双猪尾/留置时间＜180天</t>
  </si>
  <si>
    <t>C01030100114095</t>
  </si>
  <si>
    <t>不带导丝/有涂层/其他形状/留置时间＜180天</t>
  </si>
  <si>
    <t>C01030100114097</t>
  </si>
  <si>
    <t>不带导丝/有涂层/其他形状/留置时间≥365天</t>
  </si>
  <si>
    <t>C01030100114101</t>
  </si>
  <si>
    <t>不带导丝/无涂层/双猪尾/留置时间＜180天</t>
  </si>
  <si>
    <t>C01030100114104</t>
  </si>
  <si>
    <t>不带导丝/无涂层/其他形状/留置时间＜180天</t>
  </si>
  <si>
    <t>C01030100115096</t>
  </si>
  <si>
    <t>不带导丝/有涂层/其他形状/180≤留置时间＜365天</t>
  </si>
  <si>
    <t>聚合物</t>
  </si>
  <si>
    <t>C01031301600020</t>
  </si>
  <si>
    <t>光纤类</t>
  </si>
  <si>
    <t>016</t>
  </si>
  <si>
    <t/>
  </si>
  <si>
    <t>铥激光/平头/直径＞1000μm</t>
  </si>
  <si>
    <t>非血管介入治疗类材料-泌尿介入材料-泌尿介入激光光纤</t>
  </si>
  <si>
    <t>不区分</t>
  </si>
  <si>
    <t>03</t>
  </si>
  <si>
    <t>C01031301600025</t>
  </si>
  <si>
    <t>半导体激光/平头/0μm＜直径≤250μm</t>
  </si>
  <si>
    <t>C02011300400013</t>
  </si>
  <si>
    <t>导管类</t>
  </si>
  <si>
    <t>004</t>
  </si>
  <si>
    <t>双弯/带压力感应/带微电极/12孔以下</t>
  </si>
  <si>
    <t>血管介入治疗类材料-电生理类材料-磁定位治疗导管</t>
  </si>
  <si>
    <t>含在心脏射频消融导管及配件组套中，限支付射频消融术</t>
  </si>
  <si>
    <t>C02050400215009</t>
  </si>
  <si>
    <t>球囊类</t>
  </si>
  <si>
    <t>002</t>
  </si>
  <si>
    <t>颅内球囊扩张导管</t>
  </si>
  <si>
    <t>快速交换/输送型</t>
  </si>
  <si>
    <t>血管介入治疗类材料-神经介入治疗材料-颅内球囊扩张导管</t>
  </si>
  <si>
    <t>C02062900400008</t>
  </si>
  <si>
    <t>动脉血栓专用/不带喷药/无源</t>
  </si>
  <si>
    <t>血管介入治疗类材料-外周血管介入治疗材料-机械血栓抽吸导管</t>
  </si>
  <si>
    <t>C03030307800000</t>
  </si>
  <si>
    <t>固定钉类</t>
  </si>
  <si>
    <t>078</t>
  </si>
  <si>
    <t>常规</t>
  </si>
  <si>
    <t>骨科材料-固定钉-软骨固定钉</t>
  </si>
  <si>
    <t>含在骨科创伤内固定材料组套中，限支付四肢、锁骨、肋骨、韧带骨骼肌肉系统手术</t>
  </si>
  <si>
    <t>C03090108100000</t>
  </si>
  <si>
    <t>修复材料类</t>
  </si>
  <si>
    <t>081</t>
  </si>
  <si>
    <t>骨科材料-软骨修复系统-软骨固定胶</t>
  </si>
  <si>
    <t>C03120507902024</t>
  </si>
  <si>
    <t>螺钉类</t>
  </si>
  <si>
    <t>079</t>
  </si>
  <si>
    <t>非埋头/非锁定/非灭菌/直径＞7mm以上</t>
  </si>
  <si>
    <t>骨科材料-螺钉-空心钉</t>
  </si>
  <si>
    <t>纯钛</t>
  </si>
  <si>
    <t>C03170108901003</t>
  </si>
  <si>
    <t>内固定材料类</t>
  </si>
  <si>
    <t>089</t>
  </si>
  <si>
    <t>固定板/一体式/灭菌</t>
  </si>
  <si>
    <t>骨科材料-枕颈固定系统-枕骨板</t>
  </si>
  <si>
    <t>含在骨科脊柱系统组套中</t>
  </si>
  <si>
    <t>C03170108901007</t>
  </si>
  <si>
    <t>滑动板/一体式/灭菌</t>
  </si>
  <si>
    <t>C03250608902064</t>
  </si>
  <si>
    <t>双螺纹/中空/单平面</t>
  </si>
  <si>
    <t>骨科材料-胸腰椎后路固定系统-胸腰椎后路椎弓根短尾螺钉</t>
  </si>
  <si>
    <t>钴铬钼合金</t>
  </si>
  <si>
    <t>C03360110702001</t>
  </si>
  <si>
    <t>人工关节类</t>
  </si>
  <si>
    <t>107</t>
  </si>
  <si>
    <t>骨水泥型/一体式</t>
  </si>
  <si>
    <t>骨科材料-人工反肩关节-肱骨柄</t>
  </si>
  <si>
    <t>钛合金</t>
  </si>
  <si>
    <t>含在人工肩关节及配件组套中</t>
  </si>
  <si>
    <t>C03360110703001</t>
  </si>
  <si>
    <t>钴铬合金</t>
  </si>
  <si>
    <t>C03360110703004</t>
  </si>
  <si>
    <t>生物型/组配式</t>
  </si>
  <si>
    <t>C03360110704001</t>
  </si>
  <si>
    <t>钽金属</t>
  </si>
  <si>
    <t>C03450510702018</t>
  </si>
  <si>
    <t>3D打印/专用型/多孔</t>
  </si>
  <si>
    <t>骨科材料-翻修髋关节-金属髋臼杯</t>
  </si>
  <si>
    <t>含在人工髋关节及配件组套中</t>
  </si>
  <si>
    <t>C03450510703004</t>
  </si>
  <si>
    <t>涂层/专用型/三孔</t>
  </si>
  <si>
    <t>C03450510703006</t>
  </si>
  <si>
    <t>涂层/专用型/多孔</t>
  </si>
  <si>
    <t>C04010311802003</t>
  </si>
  <si>
    <t>修补材料类</t>
  </si>
  <si>
    <t>118</t>
  </si>
  <si>
    <t>三维/塑型</t>
  </si>
  <si>
    <t>神经外科材料-颅骨固定/修补材料-颅骨网</t>
  </si>
  <si>
    <t>限支付颅颌面部修补</t>
  </si>
  <si>
    <t>C06060303710008</t>
  </si>
  <si>
    <t>扩张器类</t>
  </si>
  <si>
    <t>037</t>
  </si>
  <si>
    <t>软组织扩张器</t>
  </si>
  <si>
    <t>皮肤</t>
  </si>
  <si>
    <t>人工器官、组织及配套材料-其他人工器官、组织及配套材料-软组织扩张器</t>
  </si>
  <si>
    <t>C06070113510012</t>
  </si>
  <si>
    <t>填充材料类</t>
  </si>
  <si>
    <t>135</t>
  </si>
  <si>
    <t>乳房填充物</t>
  </si>
  <si>
    <t>解剖（自然）型/光面</t>
  </si>
  <si>
    <t>人工器官、组织及配套材料-人体器官、组织填充材料-乳房填充物</t>
  </si>
  <si>
    <t>C06070613510000</t>
  </si>
  <si>
    <t>鼻假体填充物</t>
  </si>
  <si>
    <t>-</t>
  </si>
  <si>
    <t>人工器官、组织及配套材料-人体器官、组织填充材料-鼻假体填充物</t>
  </si>
  <si>
    <t>C07010408102004</t>
  </si>
  <si>
    <t>3D打印</t>
  </si>
  <si>
    <t>口腔材料-颌面整复材料-钛网</t>
  </si>
  <si>
    <t>C11010317314013</t>
  </si>
  <si>
    <t>吻合器适配钉仓类</t>
  </si>
  <si>
    <t>173</t>
  </si>
  <si>
    <t>腔镜弧线型切割吻合器钉仓（钉匣）</t>
  </si>
  <si>
    <t>弧形/手动</t>
  </si>
  <si>
    <t>吻（缝）合器及附件-开放及微创手术通用吻（缝）合器及附件-腔镜切割吻合器钉仓（钉匣）</t>
  </si>
  <si>
    <t>C11010317314014</t>
  </si>
  <si>
    <t>弧形/电动</t>
  </si>
  <si>
    <t>C12030111802005</t>
  </si>
  <si>
    <t>部分可吸收/非防粘连/不带自动展开装置</t>
  </si>
  <si>
    <t>修补材料-胸（腹）壁缺损修补材料-胸（腹）壁缺损修补片</t>
  </si>
  <si>
    <t>合成材料</t>
  </si>
  <si>
    <t>限支付疝、心脏、胸腹、盆底、血管手术</t>
  </si>
  <si>
    <t>C12030111802011</t>
  </si>
  <si>
    <t>完全可吸收/防粘连/不带自动展开装置</t>
  </si>
  <si>
    <t>C14030200502007</t>
  </si>
  <si>
    <t>手术刀头类</t>
  </si>
  <si>
    <t>005</t>
  </si>
  <si>
    <t>无组织自适应技/无集成手柄刀头/普通钳口刀头</t>
  </si>
  <si>
    <t>基础卫生材料-超声刀头-大血管（≤7mm）封闭刀头</t>
  </si>
  <si>
    <t>特氟龙涂层</t>
  </si>
  <si>
    <t>C14030400501005</t>
  </si>
  <si>
    <t>无组织自适应技/集成手柄刀头/普通钳口刀头</t>
  </si>
  <si>
    <t>基础卫生材料-超声刀头-软组织切割刀头（≤5mm血管）</t>
  </si>
  <si>
    <t>C14030400502008</t>
  </si>
  <si>
    <t>无组织自适应技/无集成手柄刀头/加长钳口刀头（长度大于等于17mm）</t>
  </si>
  <si>
    <t>C14170303502002</t>
  </si>
  <si>
    <t>引流装置类</t>
  </si>
  <si>
    <t>035</t>
  </si>
  <si>
    <t>负压/不带穿刺针</t>
  </si>
  <si>
    <t>基础卫生材料-导管、冲洗吸引装置-腹腔引流管</t>
  </si>
  <si>
    <t>乳胶</t>
  </si>
  <si>
    <t>C15010421205010</t>
  </si>
  <si>
    <t>止血材料类</t>
  </si>
  <si>
    <t>212</t>
  </si>
  <si>
    <t>非预装/非抑菌/质量＜2g</t>
  </si>
  <si>
    <t>止血防粘连材料-止血材料-粉</t>
  </si>
  <si>
    <t>壳聚糖</t>
  </si>
  <si>
    <t>C17010421606000</t>
  </si>
  <si>
    <t>敷料类</t>
  </si>
  <si>
    <t>216</t>
  </si>
  <si>
    <t>功能性敷料-创口敷料-水胶体敷料</t>
  </si>
  <si>
    <t>非药物油膏</t>
  </si>
  <si>
    <t>C01023803202007</t>
  </si>
  <si>
    <t>注射针</t>
  </si>
  <si>
    <t>032</t>
  </si>
  <si>
    <t>聚丙烯</t>
  </si>
  <si>
    <t>非血管介入治疗类材料-消化介入材料-消化介入注射针</t>
  </si>
  <si>
    <t>针长不可调节/不可锁定/透明</t>
  </si>
  <si>
    <t>0</t>
  </si>
  <si>
    <t>301</t>
  </si>
  <si>
    <t>1</t>
  </si>
  <si>
    <t>C01023803202008</t>
  </si>
  <si>
    <t>针长不可调节/不可锁定/不透明</t>
  </si>
  <si>
    <t>C01023803201004</t>
  </si>
  <si>
    <t>不锈钢</t>
  </si>
  <si>
    <t>针长可调节/不可锁定/不透明</t>
  </si>
  <si>
    <t>C01023803201008</t>
  </si>
  <si>
    <t>C01023803202002</t>
  </si>
  <si>
    <t>针长可调节/可锁定/不透明</t>
  </si>
  <si>
    <t>C01024003300008</t>
  </si>
  <si>
    <t>切开刀</t>
  </si>
  <si>
    <t>033</t>
  </si>
  <si>
    <t>非血管介入治疗类材料-消化介入材料-乳头切开刀</t>
  </si>
  <si>
    <t>套装/不带绝缘涂层/针状刀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</si>
</sst>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4" fontId="2" fillId="0" borderId="0" xfId="0" applyNumberFormat="1" applyFont="1" applyFill="1" applyAlignment="1"/>
    <xf numFmtId="0" fontId="1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14" fontId="3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 wrapText="1"/>
    </xf>
    <xf numFmtId="49" fontId="3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workbookViewId="0">
      <selection activeCell="A30" sqref="A30"/>
    </sheetView>
  </sheetViews>
  <sheetFormatPr defaultColWidth="9" defaultRowHeight="14.25"/>
  <cols>
    <col min="3" max="3" width="12.125" customWidth="1"/>
  </cols>
  <sheetData>
    <row r="1" ht="47.25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 t="s">
        <v>10</v>
      </c>
      <c r="L1" s="7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 t="s">
        <v>19</v>
      </c>
      <c r="B2" s="5" t="s">
        <v>20</v>
      </c>
      <c r="C2" s="6">
        <v>45943</v>
      </c>
      <c r="D2" s="5"/>
      <c r="E2" s="5" t="str">
        <f t="shared" ref="E2:E43" si="0">B2</f>
        <v>支架类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8" t="s">
        <v>26</v>
      </c>
      <c r="L2" s="8" t="s">
        <v>27</v>
      </c>
      <c r="M2" s="5">
        <v>0</v>
      </c>
      <c r="N2" s="5">
        <v>301</v>
      </c>
      <c r="O2" s="5">
        <v>1</v>
      </c>
      <c r="P2" s="5">
        <v>1</v>
      </c>
      <c r="Q2" s="5"/>
      <c r="R2" s="5">
        <v>1</v>
      </c>
      <c r="S2" s="5">
        <v>600</v>
      </c>
    </row>
    <row r="3" spans="1:19">
      <c r="A3" s="5" t="s">
        <v>28</v>
      </c>
      <c r="B3" s="5" t="s">
        <v>20</v>
      </c>
      <c r="C3" s="6">
        <v>45943</v>
      </c>
      <c r="D3" s="5"/>
      <c r="E3" s="5" t="str">
        <f t="shared" si="0"/>
        <v>支架类</v>
      </c>
      <c r="F3" s="5" t="s">
        <v>21</v>
      </c>
      <c r="G3" s="5" t="s">
        <v>22</v>
      </c>
      <c r="H3" s="5" t="s">
        <v>29</v>
      </c>
      <c r="I3" s="5" t="s">
        <v>24</v>
      </c>
      <c r="J3" s="5" t="s">
        <v>25</v>
      </c>
      <c r="K3" s="8" t="s">
        <v>26</v>
      </c>
      <c r="L3" s="8" t="s">
        <v>27</v>
      </c>
      <c r="M3" s="5">
        <v>0</v>
      </c>
      <c r="N3" s="5">
        <v>301</v>
      </c>
      <c r="O3" s="5">
        <v>1</v>
      </c>
      <c r="P3" s="5">
        <v>1</v>
      </c>
      <c r="Q3" s="5"/>
      <c r="R3" s="5">
        <v>1</v>
      </c>
      <c r="S3" s="5">
        <v>600</v>
      </c>
    </row>
    <row r="4" spans="1:19">
      <c r="A4" s="5" t="s">
        <v>30</v>
      </c>
      <c r="B4" s="5" t="s">
        <v>20</v>
      </c>
      <c r="C4" s="6">
        <v>45943</v>
      </c>
      <c r="D4" s="5"/>
      <c r="E4" s="5" t="str">
        <f t="shared" si="0"/>
        <v>支架类</v>
      </c>
      <c r="F4" s="5" t="s">
        <v>21</v>
      </c>
      <c r="G4" s="5" t="s">
        <v>22</v>
      </c>
      <c r="H4" s="5" t="s">
        <v>31</v>
      </c>
      <c r="I4" s="5" t="s">
        <v>24</v>
      </c>
      <c r="J4" s="5" t="s">
        <v>25</v>
      </c>
      <c r="K4" s="8" t="s">
        <v>26</v>
      </c>
      <c r="L4" s="8" t="s">
        <v>27</v>
      </c>
      <c r="M4" s="5">
        <v>0</v>
      </c>
      <c r="N4" s="5">
        <v>301</v>
      </c>
      <c r="O4" s="5">
        <v>1</v>
      </c>
      <c r="P4" s="5">
        <v>1</v>
      </c>
      <c r="Q4" s="5"/>
      <c r="R4" s="5">
        <v>1</v>
      </c>
      <c r="S4" s="5">
        <v>600</v>
      </c>
    </row>
    <row r="5" spans="1:19">
      <c r="A5" s="5" t="s">
        <v>32</v>
      </c>
      <c r="B5" s="5" t="s">
        <v>20</v>
      </c>
      <c r="C5" s="6">
        <v>45943</v>
      </c>
      <c r="D5" s="5"/>
      <c r="E5" s="5" t="str">
        <f t="shared" si="0"/>
        <v>支架类</v>
      </c>
      <c r="F5" s="5" t="s">
        <v>21</v>
      </c>
      <c r="G5" s="5" t="s">
        <v>33</v>
      </c>
      <c r="H5" s="5" t="s">
        <v>34</v>
      </c>
      <c r="I5" s="5" t="s">
        <v>24</v>
      </c>
      <c r="J5" s="5" t="s">
        <v>25</v>
      </c>
      <c r="K5" s="8" t="s">
        <v>26</v>
      </c>
      <c r="L5" s="8" t="s">
        <v>27</v>
      </c>
      <c r="M5" s="5">
        <v>0</v>
      </c>
      <c r="N5" s="5">
        <v>301</v>
      </c>
      <c r="O5" s="5">
        <v>1</v>
      </c>
      <c r="P5" s="5">
        <v>1</v>
      </c>
      <c r="Q5" s="5"/>
      <c r="R5" s="5">
        <v>1</v>
      </c>
      <c r="S5" s="5">
        <v>600</v>
      </c>
    </row>
    <row r="6" spans="1:19">
      <c r="A6" s="5" t="s">
        <v>35</v>
      </c>
      <c r="B6" s="5" t="s">
        <v>20</v>
      </c>
      <c r="C6" s="6">
        <v>45943</v>
      </c>
      <c r="D6" s="5"/>
      <c r="E6" s="5" t="str">
        <f t="shared" si="0"/>
        <v>支架类</v>
      </c>
      <c r="F6" s="5" t="s">
        <v>21</v>
      </c>
      <c r="G6" s="5" t="s">
        <v>33</v>
      </c>
      <c r="H6" s="5" t="s">
        <v>36</v>
      </c>
      <c r="I6" s="5" t="s">
        <v>24</v>
      </c>
      <c r="J6" s="5" t="s">
        <v>25</v>
      </c>
      <c r="K6" s="8" t="s">
        <v>26</v>
      </c>
      <c r="L6" s="8" t="s">
        <v>27</v>
      </c>
      <c r="M6" s="5">
        <v>0</v>
      </c>
      <c r="N6" s="5">
        <v>301</v>
      </c>
      <c r="O6" s="5">
        <v>1</v>
      </c>
      <c r="P6" s="5">
        <v>1</v>
      </c>
      <c r="Q6" s="5"/>
      <c r="R6" s="5">
        <v>1</v>
      </c>
      <c r="S6" s="5">
        <v>600</v>
      </c>
    </row>
    <row r="7" spans="1:19">
      <c r="A7" s="5" t="s">
        <v>37</v>
      </c>
      <c r="B7" s="5" t="s">
        <v>20</v>
      </c>
      <c r="C7" s="6">
        <v>45943</v>
      </c>
      <c r="D7" s="5"/>
      <c r="E7" s="5" t="str">
        <f t="shared" si="0"/>
        <v>支架类</v>
      </c>
      <c r="F7" s="5" t="s">
        <v>21</v>
      </c>
      <c r="G7" s="5" t="s">
        <v>33</v>
      </c>
      <c r="H7" s="5" t="s">
        <v>38</v>
      </c>
      <c r="I7" s="5" t="s">
        <v>24</v>
      </c>
      <c r="J7" s="5" t="s">
        <v>25</v>
      </c>
      <c r="K7" s="8" t="s">
        <v>26</v>
      </c>
      <c r="L7" s="8" t="s">
        <v>27</v>
      </c>
      <c r="M7" s="5">
        <v>0</v>
      </c>
      <c r="N7" s="5">
        <v>301</v>
      </c>
      <c r="O7" s="5">
        <v>1</v>
      </c>
      <c r="P7" s="5">
        <v>1</v>
      </c>
      <c r="Q7" s="5"/>
      <c r="R7" s="5">
        <v>1</v>
      </c>
      <c r="S7" s="5">
        <v>600</v>
      </c>
    </row>
    <row r="8" spans="1:19">
      <c r="A8" s="5" t="s">
        <v>39</v>
      </c>
      <c r="B8" s="5" t="s">
        <v>20</v>
      </c>
      <c r="C8" s="6">
        <v>45943</v>
      </c>
      <c r="D8" s="5"/>
      <c r="E8" s="5" t="str">
        <f t="shared" si="0"/>
        <v>支架类</v>
      </c>
      <c r="F8" s="5" t="s">
        <v>21</v>
      </c>
      <c r="G8" s="5" t="s">
        <v>33</v>
      </c>
      <c r="H8" s="5" t="s">
        <v>40</v>
      </c>
      <c r="I8" s="5" t="s">
        <v>24</v>
      </c>
      <c r="J8" s="5" t="s">
        <v>25</v>
      </c>
      <c r="K8" s="8" t="s">
        <v>26</v>
      </c>
      <c r="L8" s="8" t="s">
        <v>27</v>
      </c>
      <c r="M8" s="5">
        <v>0</v>
      </c>
      <c r="N8" s="5">
        <v>301</v>
      </c>
      <c r="O8" s="5">
        <v>1</v>
      </c>
      <c r="P8" s="5">
        <v>1</v>
      </c>
      <c r="Q8" s="5"/>
      <c r="R8" s="5">
        <v>1</v>
      </c>
      <c r="S8" s="5">
        <v>600</v>
      </c>
    </row>
    <row r="9" spans="1:19">
      <c r="A9" s="5" t="s">
        <v>41</v>
      </c>
      <c r="B9" s="5" t="s">
        <v>20</v>
      </c>
      <c r="C9" s="6">
        <v>45943</v>
      </c>
      <c r="D9" s="5"/>
      <c r="E9" s="5" t="str">
        <f t="shared" si="0"/>
        <v>支架类</v>
      </c>
      <c r="F9" s="5" t="s">
        <v>21</v>
      </c>
      <c r="G9" s="5" t="s">
        <v>33</v>
      </c>
      <c r="H9" s="5" t="s">
        <v>42</v>
      </c>
      <c r="I9" s="5" t="s">
        <v>24</v>
      </c>
      <c r="J9" s="5" t="s">
        <v>25</v>
      </c>
      <c r="K9" s="8" t="s">
        <v>26</v>
      </c>
      <c r="L9" s="8" t="s">
        <v>27</v>
      </c>
      <c r="M9" s="5">
        <v>0</v>
      </c>
      <c r="N9" s="5">
        <v>301</v>
      </c>
      <c r="O9" s="5">
        <v>1</v>
      </c>
      <c r="P9" s="5">
        <v>1</v>
      </c>
      <c r="Q9" s="5"/>
      <c r="R9" s="5">
        <v>1</v>
      </c>
      <c r="S9" s="5">
        <v>600</v>
      </c>
    </row>
    <row r="10" spans="1:19">
      <c r="A10" s="5" t="s">
        <v>43</v>
      </c>
      <c r="B10" s="5" t="s">
        <v>20</v>
      </c>
      <c r="C10" s="6">
        <v>45943</v>
      </c>
      <c r="D10" s="5"/>
      <c r="E10" s="5" t="str">
        <f t="shared" si="0"/>
        <v>支架类</v>
      </c>
      <c r="F10" s="5" t="s">
        <v>21</v>
      </c>
      <c r="G10" s="5" t="s">
        <v>33</v>
      </c>
      <c r="H10" s="5" t="s">
        <v>44</v>
      </c>
      <c r="I10" s="5" t="s">
        <v>24</v>
      </c>
      <c r="J10" s="5" t="s">
        <v>45</v>
      </c>
      <c r="K10" s="8" t="s">
        <v>26</v>
      </c>
      <c r="L10" s="8" t="s">
        <v>27</v>
      </c>
      <c r="M10" s="5">
        <v>0</v>
      </c>
      <c r="N10" s="5">
        <v>301</v>
      </c>
      <c r="O10" s="5">
        <v>1</v>
      </c>
      <c r="P10" s="5">
        <v>1</v>
      </c>
      <c r="Q10" s="5"/>
      <c r="R10" s="5">
        <v>1</v>
      </c>
      <c r="S10" s="5">
        <v>600</v>
      </c>
    </row>
    <row r="11" spans="1:19">
      <c r="A11" s="5" t="s">
        <v>46</v>
      </c>
      <c r="B11" s="5" t="s">
        <v>47</v>
      </c>
      <c r="C11" s="6">
        <v>45943</v>
      </c>
      <c r="D11" s="5"/>
      <c r="E11" s="5" t="str">
        <f t="shared" si="0"/>
        <v>光纤类</v>
      </c>
      <c r="F11" s="5" t="s">
        <v>48</v>
      </c>
      <c r="G11" s="5" t="s">
        <v>49</v>
      </c>
      <c r="H11" s="5" t="s">
        <v>50</v>
      </c>
      <c r="I11" s="5" t="s">
        <v>51</v>
      </c>
      <c r="J11" s="5" t="s">
        <v>52</v>
      </c>
      <c r="K11" s="8" t="s">
        <v>26</v>
      </c>
      <c r="L11" s="8" t="s">
        <v>53</v>
      </c>
      <c r="M11" s="5">
        <v>0</v>
      </c>
      <c r="N11" s="5">
        <v>301</v>
      </c>
      <c r="O11" s="5">
        <v>1</v>
      </c>
      <c r="P11" s="5">
        <v>1</v>
      </c>
      <c r="Q11" s="5"/>
      <c r="R11" s="5">
        <v>1</v>
      </c>
      <c r="S11" s="5">
        <v>0</v>
      </c>
    </row>
    <row r="12" spans="1:19">
      <c r="A12" s="5" t="s">
        <v>54</v>
      </c>
      <c r="B12" s="5" t="s">
        <v>47</v>
      </c>
      <c r="C12" s="6">
        <v>45943</v>
      </c>
      <c r="D12" s="5"/>
      <c r="E12" s="5" t="str">
        <f t="shared" si="0"/>
        <v>光纤类</v>
      </c>
      <c r="F12" s="5" t="s">
        <v>48</v>
      </c>
      <c r="G12" s="5" t="s">
        <v>49</v>
      </c>
      <c r="H12" s="5" t="s">
        <v>55</v>
      </c>
      <c r="I12" s="5" t="s">
        <v>51</v>
      </c>
      <c r="J12" s="5" t="s">
        <v>52</v>
      </c>
      <c r="K12" s="8" t="s">
        <v>26</v>
      </c>
      <c r="L12" s="8" t="s">
        <v>53</v>
      </c>
      <c r="M12" s="5">
        <v>0</v>
      </c>
      <c r="N12" s="5">
        <v>301</v>
      </c>
      <c r="O12" s="5">
        <v>1</v>
      </c>
      <c r="P12" s="5">
        <v>1</v>
      </c>
      <c r="Q12" s="5"/>
      <c r="R12" s="5">
        <v>1</v>
      </c>
      <c r="S12" s="5">
        <v>0</v>
      </c>
    </row>
    <row r="13" spans="1:19">
      <c r="A13" s="5" t="s">
        <v>56</v>
      </c>
      <c r="B13" s="5" t="s">
        <v>57</v>
      </c>
      <c r="C13" s="6">
        <v>45943</v>
      </c>
      <c r="D13" s="5"/>
      <c r="E13" s="5" t="str">
        <f t="shared" si="0"/>
        <v>导管类</v>
      </c>
      <c r="F13" s="5" t="s">
        <v>58</v>
      </c>
      <c r="G13" s="5" t="s">
        <v>49</v>
      </c>
      <c r="H13" s="5" t="s">
        <v>59</v>
      </c>
      <c r="I13" s="5" t="s">
        <v>60</v>
      </c>
      <c r="J13" s="5" t="s">
        <v>52</v>
      </c>
      <c r="K13" s="8" t="s">
        <v>26</v>
      </c>
      <c r="L13" s="8" t="s">
        <v>27</v>
      </c>
      <c r="M13" s="5">
        <v>1</v>
      </c>
      <c r="N13" s="5">
        <v>301</v>
      </c>
      <c r="O13" s="5">
        <v>1</v>
      </c>
      <c r="P13" s="5">
        <v>1</v>
      </c>
      <c r="Q13" s="5" t="s">
        <v>61</v>
      </c>
      <c r="R13" s="5">
        <v>1</v>
      </c>
      <c r="S13" s="5">
        <v>15000</v>
      </c>
    </row>
    <row r="14" spans="1:19">
      <c r="A14" s="5" t="s">
        <v>62</v>
      </c>
      <c r="B14" s="5" t="s">
        <v>63</v>
      </c>
      <c r="C14" s="6">
        <v>45943</v>
      </c>
      <c r="D14" s="5"/>
      <c r="E14" s="5" t="str">
        <f t="shared" si="0"/>
        <v>球囊类</v>
      </c>
      <c r="F14" s="5" t="s">
        <v>64</v>
      </c>
      <c r="G14" s="5" t="s">
        <v>65</v>
      </c>
      <c r="H14" s="5" t="s">
        <v>66</v>
      </c>
      <c r="I14" s="5" t="s">
        <v>67</v>
      </c>
      <c r="J14" s="5" t="s">
        <v>45</v>
      </c>
      <c r="K14" s="8" t="s">
        <v>26</v>
      </c>
      <c r="L14" s="8" t="s">
        <v>27</v>
      </c>
      <c r="M14" s="5">
        <v>0</v>
      </c>
      <c r="N14" s="5">
        <v>301</v>
      </c>
      <c r="O14" s="5">
        <v>1</v>
      </c>
      <c r="P14" s="5">
        <v>1</v>
      </c>
      <c r="Q14" s="5"/>
      <c r="R14" s="5">
        <v>1</v>
      </c>
      <c r="S14" s="5">
        <v>3880</v>
      </c>
    </row>
    <row r="15" spans="1:19">
      <c r="A15" s="5" t="s">
        <v>68</v>
      </c>
      <c r="B15" s="5" t="s">
        <v>57</v>
      </c>
      <c r="C15" s="6">
        <v>45943</v>
      </c>
      <c r="D15" s="5"/>
      <c r="E15" s="5" t="str">
        <f t="shared" si="0"/>
        <v>导管类</v>
      </c>
      <c r="F15" s="5" t="s">
        <v>58</v>
      </c>
      <c r="G15" s="5" t="s">
        <v>49</v>
      </c>
      <c r="H15" s="5" t="s">
        <v>69</v>
      </c>
      <c r="I15" s="5" t="s">
        <v>70</v>
      </c>
      <c r="J15" s="5" t="s">
        <v>52</v>
      </c>
      <c r="K15" s="8" t="s">
        <v>26</v>
      </c>
      <c r="L15" s="8" t="s">
        <v>27</v>
      </c>
      <c r="M15" s="5">
        <v>0</v>
      </c>
      <c r="N15" s="5">
        <v>301</v>
      </c>
      <c r="O15" s="5">
        <v>1</v>
      </c>
      <c r="P15" s="5">
        <v>1</v>
      </c>
      <c r="Q15" s="5"/>
      <c r="R15" s="5">
        <v>1</v>
      </c>
      <c r="S15" s="5">
        <v>2000</v>
      </c>
    </row>
    <row r="16" spans="1:19">
      <c r="A16" s="5" t="s">
        <v>71</v>
      </c>
      <c r="B16" s="5" t="s">
        <v>72</v>
      </c>
      <c r="C16" s="6">
        <v>45943</v>
      </c>
      <c r="D16" s="5"/>
      <c r="E16" s="5" t="str">
        <f t="shared" si="0"/>
        <v>固定钉类</v>
      </c>
      <c r="F16" s="5" t="s">
        <v>73</v>
      </c>
      <c r="G16" s="5" t="s">
        <v>49</v>
      </c>
      <c r="H16" s="5" t="s">
        <v>74</v>
      </c>
      <c r="I16" s="5" t="s">
        <v>75</v>
      </c>
      <c r="J16" s="5" t="s">
        <v>52</v>
      </c>
      <c r="K16" s="8" t="s">
        <v>26</v>
      </c>
      <c r="L16" s="8" t="s">
        <v>27</v>
      </c>
      <c r="M16" s="5">
        <v>1</v>
      </c>
      <c r="N16" s="5">
        <v>301</v>
      </c>
      <c r="O16" s="5">
        <v>1</v>
      </c>
      <c r="P16" s="5">
        <v>1</v>
      </c>
      <c r="Q16" s="5" t="s">
        <v>76</v>
      </c>
      <c r="R16" s="5">
        <v>1</v>
      </c>
      <c r="S16" s="5">
        <v>7700</v>
      </c>
    </row>
    <row r="17" spans="1:19">
      <c r="A17" s="5" t="s">
        <v>77</v>
      </c>
      <c r="B17" s="5" t="s">
        <v>78</v>
      </c>
      <c r="C17" s="6">
        <v>45943</v>
      </c>
      <c r="D17" s="5"/>
      <c r="E17" s="5" t="str">
        <f t="shared" si="0"/>
        <v>修复材料类</v>
      </c>
      <c r="F17" s="5" t="s">
        <v>79</v>
      </c>
      <c r="G17" s="5" t="s">
        <v>49</v>
      </c>
      <c r="H17" s="5" t="s">
        <v>74</v>
      </c>
      <c r="I17" s="5" t="s">
        <v>80</v>
      </c>
      <c r="J17" s="5" t="s">
        <v>52</v>
      </c>
      <c r="K17" s="8" t="s">
        <v>26</v>
      </c>
      <c r="L17" s="8" t="s">
        <v>53</v>
      </c>
      <c r="M17" s="5">
        <v>0</v>
      </c>
      <c r="N17" s="5">
        <v>301</v>
      </c>
      <c r="O17" s="5">
        <v>1</v>
      </c>
      <c r="P17" s="5">
        <v>1</v>
      </c>
      <c r="Q17" s="5"/>
      <c r="R17" s="5">
        <v>1</v>
      </c>
      <c r="S17" s="5">
        <v>0</v>
      </c>
    </row>
    <row r="18" spans="1:19">
      <c r="A18" s="5" t="s">
        <v>81</v>
      </c>
      <c r="B18" s="5" t="s">
        <v>82</v>
      </c>
      <c r="C18" s="6">
        <v>45943</v>
      </c>
      <c r="D18" s="5"/>
      <c r="E18" s="5" t="str">
        <f t="shared" si="0"/>
        <v>螺钉类</v>
      </c>
      <c r="F18" s="5" t="s">
        <v>83</v>
      </c>
      <c r="G18" s="5" t="s">
        <v>49</v>
      </c>
      <c r="H18" s="5" t="s">
        <v>84</v>
      </c>
      <c r="I18" s="5" t="s">
        <v>85</v>
      </c>
      <c r="J18" s="5" t="s">
        <v>86</v>
      </c>
      <c r="K18" s="8" t="s">
        <v>26</v>
      </c>
      <c r="L18" s="8" t="s">
        <v>27</v>
      </c>
      <c r="M18" s="5">
        <v>1</v>
      </c>
      <c r="N18" s="5">
        <v>301</v>
      </c>
      <c r="O18" s="5">
        <v>1</v>
      </c>
      <c r="P18" s="5">
        <v>1</v>
      </c>
      <c r="Q18" s="5" t="s">
        <v>76</v>
      </c>
      <c r="R18" s="5">
        <v>1</v>
      </c>
      <c r="S18" s="5">
        <v>7700</v>
      </c>
    </row>
    <row r="19" spans="1:19">
      <c r="A19" s="5" t="s">
        <v>87</v>
      </c>
      <c r="B19" s="5" t="s">
        <v>88</v>
      </c>
      <c r="C19" s="6">
        <v>45943</v>
      </c>
      <c r="D19" s="5"/>
      <c r="E19" s="5" t="str">
        <f t="shared" si="0"/>
        <v>内固定材料类</v>
      </c>
      <c r="F19" s="5" t="s">
        <v>89</v>
      </c>
      <c r="G19" s="5" t="s">
        <v>49</v>
      </c>
      <c r="H19" s="5" t="s">
        <v>90</v>
      </c>
      <c r="I19" s="5" t="s">
        <v>91</v>
      </c>
      <c r="J19" s="5" t="s">
        <v>86</v>
      </c>
      <c r="K19" s="8" t="s">
        <v>26</v>
      </c>
      <c r="L19" s="8" t="s">
        <v>27</v>
      </c>
      <c r="M19" s="5">
        <v>1</v>
      </c>
      <c r="N19" s="5">
        <v>301</v>
      </c>
      <c r="O19" s="5">
        <v>1</v>
      </c>
      <c r="P19" s="5">
        <v>1</v>
      </c>
      <c r="Q19" s="5" t="s">
        <v>92</v>
      </c>
      <c r="R19" s="5">
        <v>1</v>
      </c>
      <c r="S19" s="5">
        <v>20000</v>
      </c>
    </row>
    <row r="20" spans="1:19">
      <c r="A20" s="5" t="s">
        <v>93</v>
      </c>
      <c r="B20" s="5" t="s">
        <v>88</v>
      </c>
      <c r="C20" s="6">
        <v>45943</v>
      </c>
      <c r="D20" s="5"/>
      <c r="E20" s="5" t="str">
        <f t="shared" si="0"/>
        <v>内固定材料类</v>
      </c>
      <c r="F20" s="5" t="s">
        <v>89</v>
      </c>
      <c r="G20" s="5" t="s">
        <v>49</v>
      </c>
      <c r="H20" s="5" t="s">
        <v>94</v>
      </c>
      <c r="I20" s="5" t="s">
        <v>91</v>
      </c>
      <c r="J20" s="5" t="s">
        <v>86</v>
      </c>
      <c r="K20" s="8" t="s">
        <v>26</v>
      </c>
      <c r="L20" s="8" t="s">
        <v>27</v>
      </c>
      <c r="M20" s="5">
        <v>1</v>
      </c>
      <c r="N20" s="5">
        <v>301</v>
      </c>
      <c r="O20" s="5">
        <v>1</v>
      </c>
      <c r="P20" s="5">
        <v>1</v>
      </c>
      <c r="Q20" s="5" t="s">
        <v>92</v>
      </c>
      <c r="R20" s="5">
        <v>1</v>
      </c>
      <c r="S20" s="5">
        <v>20000</v>
      </c>
    </row>
    <row r="21" spans="1:19">
      <c r="A21" s="5" t="s">
        <v>95</v>
      </c>
      <c r="B21" s="5" t="s">
        <v>88</v>
      </c>
      <c r="C21" s="6">
        <v>45943</v>
      </c>
      <c r="D21" s="5"/>
      <c r="E21" s="5" t="str">
        <f t="shared" si="0"/>
        <v>内固定材料类</v>
      </c>
      <c r="F21" s="5" t="s">
        <v>89</v>
      </c>
      <c r="G21" s="5" t="s">
        <v>49</v>
      </c>
      <c r="H21" s="5" t="s">
        <v>96</v>
      </c>
      <c r="I21" s="5" t="s">
        <v>97</v>
      </c>
      <c r="J21" s="5" t="s">
        <v>98</v>
      </c>
      <c r="K21" s="8" t="s">
        <v>26</v>
      </c>
      <c r="L21" s="8" t="s">
        <v>27</v>
      </c>
      <c r="M21" s="5">
        <v>1</v>
      </c>
      <c r="N21" s="5">
        <v>301</v>
      </c>
      <c r="O21" s="5">
        <v>1</v>
      </c>
      <c r="P21" s="5">
        <v>1</v>
      </c>
      <c r="Q21" s="5" t="s">
        <v>92</v>
      </c>
      <c r="R21" s="5">
        <v>1</v>
      </c>
      <c r="S21" s="5">
        <v>20000</v>
      </c>
    </row>
    <row r="22" spans="1:19">
      <c r="A22" s="5" t="s">
        <v>99</v>
      </c>
      <c r="B22" s="5" t="s">
        <v>100</v>
      </c>
      <c r="C22" s="6">
        <v>45943</v>
      </c>
      <c r="D22" s="5"/>
      <c r="E22" s="5" t="str">
        <f t="shared" si="0"/>
        <v>人工关节类</v>
      </c>
      <c r="F22" s="5" t="s">
        <v>101</v>
      </c>
      <c r="G22" s="5" t="s">
        <v>49</v>
      </c>
      <c r="H22" s="5" t="s">
        <v>102</v>
      </c>
      <c r="I22" s="5" t="s">
        <v>103</v>
      </c>
      <c r="J22" s="5" t="s">
        <v>104</v>
      </c>
      <c r="K22" s="8" t="s">
        <v>26</v>
      </c>
      <c r="L22" s="8" t="s">
        <v>27</v>
      </c>
      <c r="M22" s="5">
        <v>1</v>
      </c>
      <c r="N22" s="5">
        <v>301</v>
      </c>
      <c r="O22" s="5">
        <v>1</v>
      </c>
      <c r="P22" s="5">
        <v>1</v>
      </c>
      <c r="Q22" s="5" t="s">
        <v>105</v>
      </c>
      <c r="R22" s="5">
        <v>1</v>
      </c>
      <c r="S22" s="5">
        <v>22000</v>
      </c>
    </row>
    <row r="23" spans="1:19">
      <c r="A23" s="5" t="s">
        <v>106</v>
      </c>
      <c r="B23" s="5" t="s">
        <v>100</v>
      </c>
      <c r="C23" s="6">
        <v>45943</v>
      </c>
      <c r="D23" s="5"/>
      <c r="E23" s="5" t="str">
        <f t="shared" si="0"/>
        <v>人工关节类</v>
      </c>
      <c r="F23" s="5" t="s">
        <v>101</v>
      </c>
      <c r="G23" s="5" t="s">
        <v>49</v>
      </c>
      <c r="H23" s="5" t="s">
        <v>102</v>
      </c>
      <c r="I23" s="5" t="s">
        <v>103</v>
      </c>
      <c r="J23" s="5" t="s">
        <v>107</v>
      </c>
      <c r="K23" s="8" t="s">
        <v>26</v>
      </c>
      <c r="L23" s="8" t="s">
        <v>27</v>
      </c>
      <c r="M23" s="5">
        <v>1</v>
      </c>
      <c r="N23" s="5">
        <v>301</v>
      </c>
      <c r="O23" s="5">
        <v>1</v>
      </c>
      <c r="P23" s="5">
        <v>1</v>
      </c>
      <c r="Q23" s="5" t="s">
        <v>105</v>
      </c>
      <c r="R23" s="5">
        <v>1</v>
      </c>
      <c r="S23" s="5">
        <v>22000</v>
      </c>
    </row>
    <row r="24" spans="1:19">
      <c r="A24" s="5" t="s">
        <v>108</v>
      </c>
      <c r="B24" s="5" t="s">
        <v>100</v>
      </c>
      <c r="C24" s="6">
        <v>45943</v>
      </c>
      <c r="D24" s="5"/>
      <c r="E24" s="5" t="str">
        <f t="shared" si="0"/>
        <v>人工关节类</v>
      </c>
      <c r="F24" s="5" t="s">
        <v>101</v>
      </c>
      <c r="G24" s="5" t="s">
        <v>49</v>
      </c>
      <c r="H24" s="5" t="s">
        <v>109</v>
      </c>
      <c r="I24" s="5" t="s">
        <v>103</v>
      </c>
      <c r="J24" s="5" t="s">
        <v>107</v>
      </c>
      <c r="K24" s="8" t="s">
        <v>26</v>
      </c>
      <c r="L24" s="8" t="s">
        <v>27</v>
      </c>
      <c r="M24" s="5">
        <v>1</v>
      </c>
      <c r="N24" s="5">
        <v>301</v>
      </c>
      <c r="O24" s="5">
        <v>1</v>
      </c>
      <c r="P24" s="5">
        <v>1</v>
      </c>
      <c r="Q24" s="5" t="s">
        <v>105</v>
      </c>
      <c r="R24" s="5">
        <v>1</v>
      </c>
      <c r="S24" s="5">
        <v>22000</v>
      </c>
    </row>
    <row r="25" spans="1:19">
      <c r="A25" s="5" t="s">
        <v>110</v>
      </c>
      <c r="B25" s="5" t="s">
        <v>100</v>
      </c>
      <c r="C25" s="6">
        <v>45943</v>
      </c>
      <c r="D25" s="5"/>
      <c r="E25" s="5" t="str">
        <f t="shared" si="0"/>
        <v>人工关节类</v>
      </c>
      <c r="F25" s="5" t="s">
        <v>101</v>
      </c>
      <c r="G25" s="5" t="s">
        <v>49</v>
      </c>
      <c r="H25" s="5" t="s">
        <v>102</v>
      </c>
      <c r="I25" s="5" t="s">
        <v>103</v>
      </c>
      <c r="J25" s="5" t="s">
        <v>111</v>
      </c>
      <c r="K25" s="8" t="s">
        <v>26</v>
      </c>
      <c r="L25" s="8" t="s">
        <v>27</v>
      </c>
      <c r="M25" s="5">
        <v>1</v>
      </c>
      <c r="N25" s="5">
        <v>301</v>
      </c>
      <c r="O25" s="5">
        <v>1</v>
      </c>
      <c r="P25" s="5">
        <v>1</v>
      </c>
      <c r="Q25" s="5" t="s">
        <v>105</v>
      </c>
      <c r="R25" s="5">
        <v>1</v>
      </c>
      <c r="S25" s="5">
        <v>22000</v>
      </c>
    </row>
    <row r="26" spans="1:19">
      <c r="A26" s="5" t="s">
        <v>112</v>
      </c>
      <c r="B26" s="5" t="s">
        <v>100</v>
      </c>
      <c r="C26" s="6">
        <v>45943</v>
      </c>
      <c r="D26" s="5"/>
      <c r="E26" s="5" t="str">
        <f t="shared" si="0"/>
        <v>人工关节类</v>
      </c>
      <c r="F26" s="5" t="s">
        <v>101</v>
      </c>
      <c r="G26" s="5" t="s">
        <v>49</v>
      </c>
      <c r="H26" s="5" t="s">
        <v>113</v>
      </c>
      <c r="I26" s="5" t="s">
        <v>114</v>
      </c>
      <c r="J26" s="5" t="s">
        <v>86</v>
      </c>
      <c r="K26" s="8" t="s">
        <v>26</v>
      </c>
      <c r="L26" s="8" t="s">
        <v>27</v>
      </c>
      <c r="M26" s="5">
        <v>1</v>
      </c>
      <c r="N26" s="5">
        <v>301</v>
      </c>
      <c r="O26" s="5">
        <v>1</v>
      </c>
      <c r="P26" s="5">
        <v>1</v>
      </c>
      <c r="Q26" s="5" t="s">
        <v>115</v>
      </c>
      <c r="R26" s="5">
        <v>1</v>
      </c>
      <c r="S26" s="5">
        <v>9920</v>
      </c>
    </row>
    <row r="27" spans="1:19">
      <c r="A27" s="5" t="s">
        <v>116</v>
      </c>
      <c r="B27" s="5" t="s">
        <v>100</v>
      </c>
      <c r="C27" s="6">
        <v>45943</v>
      </c>
      <c r="D27" s="5"/>
      <c r="E27" s="5" t="str">
        <f t="shared" si="0"/>
        <v>人工关节类</v>
      </c>
      <c r="F27" s="5" t="s">
        <v>101</v>
      </c>
      <c r="G27" s="5" t="s">
        <v>49</v>
      </c>
      <c r="H27" s="5" t="s">
        <v>117</v>
      </c>
      <c r="I27" s="5" t="s">
        <v>114</v>
      </c>
      <c r="J27" s="5" t="s">
        <v>111</v>
      </c>
      <c r="K27" s="8" t="s">
        <v>26</v>
      </c>
      <c r="L27" s="8" t="s">
        <v>27</v>
      </c>
      <c r="M27" s="5">
        <v>1</v>
      </c>
      <c r="N27" s="5">
        <v>301</v>
      </c>
      <c r="O27" s="5">
        <v>1</v>
      </c>
      <c r="P27" s="5">
        <v>1</v>
      </c>
      <c r="Q27" s="5" t="s">
        <v>115</v>
      </c>
      <c r="R27" s="5">
        <v>1</v>
      </c>
      <c r="S27" s="5">
        <v>9920</v>
      </c>
    </row>
    <row r="28" spans="1:19">
      <c r="A28" s="5" t="s">
        <v>118</v>
      </c>
      <c r="B28" s="5" t="s">
        <v>100</v>
      </c>
      <c r="C28" s="6">
        <v>45943</v>
      </c>
      <c r="D28" s="5"/>
      <c r="E28" s="5" t="str">
        <f t="shared" si="0"/>
        <v>人工关节类</v>
      </c>
      <c r="F28" s="5" t="s">
        <v>101</v>
      </c>
      <c r="G28" s="5" t="s">
        <v>49</v>
      </c>
      <c r="H28" s="5" t="s">
        <v>119</v>
      </c>
      <c r="I28" s="5" t="s">
        <v>114</v>
      </c>
      <c r="J28" s="5" t="s">
        <v>111</v>
      </c>
      <c r="K28" s="8" t="s">
        <v>26</v>
      </c>
      <c r="L28" s="8" t="s">
        <v>27</v>
      </c>
      <c r="M28" s="5">
        <v>1</v>
      </c>
      <c r="N28" s="5">
        <v>301</v>
      </c>
      <c r="O28" s="5">
        <v>1</v>
      </c>
      <c r="P28" s="5">
        <v>1</v>
      </c>
      <c r="Q28" s="5" t="s">
        <v>115</v>
      </c>
      <c r="R28" s="5">
        <v>1</v>
      </c>
      <c r="S28" s="5">
        <v>9920</v>
      </c>
    </row>
    <row r="29" spans="1:19">
      <c r="A29" s="5" t="s">
        <v>120</v>
      </c>
      <c r="B29" s="5" t="s">
        <v>121</v>
      </c>
      <c r="C29" s="6">
        <v>45943</v>
      </c>
      <c r="D29" s="5"/>
      <c r="E29" s="5" t="str">
        <f t="shared" si="0"/>
        <v>修补材料类</v>
      </c>
      <c r="F29" s="5" t="s">
        <v>122</v>
      </c>
      <c r="G29" s="5" t="s">
        <v>49</v>
      </c>
      <c r="H29" s="5" t="s">
        <v>123</v>
      </c>
      <c r="I29" s="5" t="s">
        <v>124</v>
      </c>
      <c r="J29" s="5" t="s">
        <v>104</v>
      </c>
      <c r="K29" s="8" t="s">
        <v>26</v>
      </c>
      <c r="L29" s="8" t="s">
        <v>27</v>
      </c>
      <c r="M29" s="5">
        <v>1</v>
      </c>
      <c r="N29" s="5">
        <v>301</v>
      </c>
      <c r="O29" s="5">
        <v>1</v>
      </c>
      <c r="P29" s="5">
        <v>1</v>
      </c>
      <c r="Q29" s="5" t="s">
        <v>125</v>
      </c>
      <c r="R29" s="5">
        <v>1</v>
      </c>
      <c r="S29" s="5">
        <v>1050</v>
      </c>
    </row>
    <row r="30" spans="1:19">
      <c r="A30" s="5" t="s">
        <v>126</v>
      </c>
      <c r="B30" s="5" t="s">
        <v>127</v>
      </c>
      <c r="C30" s="6">
        <v>45943</v>
      </c>
      <c r="D30" s="5"/>
      <c r="E30" s="5" t="str">
        <f t="shared" si="0"/>
        <v>扩张器类</v>
      </c>
      <c r="F30" s="5" t="s">
        <v>128</v>
      </c>
      <c r="G30" s="5" t="s">
        <v>129</v>
      </c>
      <c r="H30" s="5" t="s">
        <v>130</v>
      </c>
      <c r="I30" s="5" t="s">
        <v>131</v>
      </c>
      <c r="J30" s="5" t="s">
        <v>52</v>
      </c>
      <c r="K30" s="8" t="s">
        <v>26</v>
      </c>
      <c r="L30" s="8" t="s">
        <v>53</v>
      </c>
      <c r="M30" s="5">
        <v>0</v>
      </c>
      <c r="N30" s="5">
        <v>301</v>
      </c>
      <c r="O30" s="5">
        <v>1</v>
      </c>
      <c r="P30" s="5">
        <v>1</v>
      </c>
      <c r="Q30" s="5"/>
      <c r="R30" s="5">
        <v>1</v>
      </c>
      <c r="S30" s="5">
        <v>0</v>
      </c>
    </row>
    <row r="31" spans="1:19">
      <c r="A31" s="5" t="s">
        <v>132</v>
      </c>
      <c r="B31" s="5" t="s">
        <v>133</v>
      </c>
      <c r="C31" s="6">
        <v>45943</v>
      </c>
      <c r="D31" s="5"/>
      <c r="E31" s="5" t="str">
        <f t="shared" si="0"/>
        <v>填充材料类</v>
      </c>
      <c r="F31" s="5" t="s">
        <v>134</v>
      </c>
      <c r="G31" s="5" t="s">
        <v>135</v>
      </c>
      <c r="H31" s="5" t="s">
        <v>136</v>
      </c>
      <c r="I31" s="5" t="s">
        <v>137</v>
      </c>
      <c r="J31" s="5" t="s">
        <v>52</v>
      </c>
      <c r="K31" s="8" t="s">
        <v>26</v>
      </c>
      <c r="L31" s="8" t="s">
        <v>53</v>
      </c>
      <c r="M31" s="5">
        <v>0</v>
      </c>
      <c r="N31" s="5">
        <v>301</v>
      </c>
      <c r="O31" s="5">
        <v>1</v>
      </c>
      <c r="P31" s="5">
        <v>1</v>
      </c>
      <c r="Q31" s="5"/>
      <c r="R31" s="5">
        <v>1</v>
      </c>
      <c r="S31" s="5">
        <v>0</v>
      </c>
    </row>
    <row r="32" spans="1:19">
      <c r="A32" s="5" t="s">
        <v>138</v>
      </c>
      <c r="B32" s="5" t="s">
        <v>133</v>
      </c>
      <c r="C32" s="6">
        <v>45943</v>
      </c>
      <c r="D32" s="5"/>
      <c r="E32" s="5" t="str">
        <f t="shared" si="0"/>
        <v>填充材料类</v>
      </c>
      <c r="F32" s="5" t="s">
        <v>134</v>
      </c>
      <c r="G32" s="5" t="s">
        <v>139</v>
      </c>
      <c r="H32" s="5" t="s">
        <v>140</v>
      </c>
      <c r="I32" s="5" t="s">
        <v>141</v>
      </c>
      <c r="J32" s="5" t="s">
        <v>52</v>
      </c>
      <c r="K32" s="8" t="s">
        <v>26</v>
      </c>
      <c r="L32" s="8" t="s">
        <v>53</v>
      </c>
      <c r="M32" s="5">
        <v>0</v>
      </c>
      <c r="N32" s="5">
        <v>301</v>
      </c>
      <c r="O32" s="5">
        <v>1</v>
      </c>
      <c r="P32" s="5">
        <v>1</v>
      </c>
      <c r="Q32" s="5"/>
      <c r="R32" s="5">
        <v>1</v>
      </c>
      <c r="S32" s="5">
        <v>0</v>
      </c>
    </row>
    <row r="33" spans="1:19">
      <c r="A33" s="5" t="s">
        <v>142</v>
      </c>
      <c r="B33" s="5" t="s">
        <v>78</v>
      </c>
      <c r="C33" s="6">
        <v>45943</v>
      </c>
      <c r="D33" s="5"/>
      <c r="E33" s="5" t="str">
        <f t="shared" si="0"/>
        <v>修复材料类</v>
      </c>
      <c r="F33" s="5" t="s">
        <v>79</v>
      </c>
      <c r="G33" s="5" t="s">
        <v>49</v>
      </c>
      <c r="H33" s="5" t="s">
        <v>143</v>
      </c>
      <c r="I33" s="5" t="s">
        <v>144</v>
      </c>
      <c r="J33" s="5" t="s">
        <v>25</v>
      </c>
      <c r="K33" s="8" t="s">
        <v>26</v>
      </c>
      <c r="L33" s="8" t="s">
        <v>27</v>
      </c>
      <c r="M33" s="5">
        <v>1</v>
      </c>
      <c r="N33" s="5">
        <v>301</v>
      </c>
      <c r="O33" s="5">
        <v>1</v>
      </c>
      <c r="P33" s="5">
        <v>1</v>
      </c>
      <c r="Q33" s="5" t="s">
        <v>125</v>
      </c>
      <c r="R33" s="5">
        <v>1</v>
      </c>
      <c r="S33" s="5">
        <v>1050</v>
      </c>
    </row>
    <row r="34" spans="1:19">
      <c r="A34" s="5" t="s">
        <v>145</v>
      </c>
      <c r="B34" s="5" t="s">
        <v>146</v>
      </c>
      <c r="C34" s="6">
        <v>45943</v>
      </c>
      <c r="D34" s="5"/>
      <c r="E34" s="5" t="str">
        <f t="shared" si="0"/>
        <v>吻合器适配钉仓类</v>
      </c>
      <c r="F34" s="5" t="s">
        <v>147</v>
      </c>
      <c r="G34" s="5" t="s">
        <v>148</v>
      </c>
      <c r="H34" s="5" t="s">
        <v>149</v>
      </c>
      <c r="I34" s="5" t="s">
        <v>150</v>
      </c>
      <c r="J34" s="5" t="s">
        <v>104</v>
      </c>
      <c r="K34" s="8" t="s">
        <v>26</v>
      </c>
      <c r="L34" s="8" t="s">
        <v>53</v>
      </c>
      <c r="M34" s="5">
        <v>0</v>
      </c>
      <c r="N34" s="5">
        <v>301</v>
      </c>
      <c r="O34" s="5">
        <v>1</v>
      </c>
      <c r="P34" s="5">
        <v>1</v>
      </c>
      <c r="Q34" s="5"/>
      <c r="R34" s="5">
        <v>1</v>
      </c>
      <c r="S34" s="5">
        <v>0</v>
      </c>
    </row>
    <row r="35" spans="1:19">
      <c r="A35" s="5" t="s">
        <v>151</v>
      </c>
      <c r="B35" s="5" t="s">
        <v>146</v>
      </c>
      <c r="C35" s="6">
        <v>45943</v>
      </c>
      <c r="D35" s="5"/>
      <c r="E35" s="5" t="str">
        <f t="shared" si="0"/>
        <v>吻合器适配钉仓类</v>
      </c>
      <c r="F35" s="5" t="s">
        <v>147</v>
      </c>
      <c r="G35" s="5" t="s">
        <v>148</v>
      </c>
      <c r="H35" s="5" t="s">
        <v>152</v>
      </c>
      <c r="I35" s="5" t="s">
        <v>150</v>
      </c>
      <c r="J35" s="5" t="s">
        <v>104</v>
      </c>
      <c r="K35" s="8" t="s">
        <v>26</v>
      </c>
      <c r="L35" s="8" t="s">
        <v>53</v>
      </c>
      <c r="M35" s="5">
        <v>0</v>
      </c>
      <c r="N35" s="5">
        <v>301</v>
      </c>
      <c r="O35" s="5">
        <v>1</v>
      </c>
      <c r="P35" s="5">
        <v>1</v>
      </c>
      <c r="Q35" s="5"/>
      <c r="R35" s="5">
        <v>1</v>
      </c>
      <c r="S35" s="5">
        <v>0</v>
      </c>
    </row>
    <row r="36" spans="1:19">
      <c r="A36" s="5" t="s">
        <v>153</v>
      </c>
      <c r="B36" s="5" t="s">
        <v>121</v>
      </c>
      <c r="C36" s="6">
        <v>45943</v>
      </c>
      <c r="D36" s="5"/>
      <c r="E36" s="5" t="str">
        <f t="shared" si="0"/>
        <v>修补材料类</v>
      </c>
      <c r="F36" s="5" t="s">
        <v>122</v>
      </c>
      <c r="G36" s="5" t="s">
        <v>49</v>
      </c>
      <c r="H36" s="5" t="s">
        <v>154</v>
      </c>
      <c r="I36" s="5" t="s">
        <v>155</v>
      </c>
      <c r="J36" s="5" t="s">
        <v>156</v>
      </c>
      <c r="K36" s="8" t="s">
        <v>26</v>
      </c>
      <c r="L36" s="8" t="s">
        <v>27</v>
      </c>
      <c r="M36" s="5">
        <v>1</v>
      </c>
      <c r="N36" s="5">
        <v>301</v>
      </c>
      <c r="O36" s="5">
        <v>1</v>
      </c>
      <c r="P36" s="5">
        <v>1</v>
      </c>
      <c r="Q36" s="5" t="s">
        <v>157</v>
      </c>
      <c r="R36" s="5">
        <v>1</v>
      </c>
      <c r="S36" s="5">
        <v>1350</v>
      </c>
    </row>
    <row r="37" spans="1:19">
      <c r="A37" s="5" t="s">
        <v>158</v>
      </c>
      <c r="B37" s="5" t="s">
        <v>121</v>
      </c>
      <c r="C37" s="6">
        <v>45943</v>
      </c>
      <c r="D37" s="5"/>
      <c r="E37" s="5" t="str">
        <f t="shared" si="0"/>
        <v>修补材料类</v>
      </c>
      <c r="F37" s="5" t="s">
        <v>122</v>
      </c>
      <c r="G37" s="5" t="s">
        <v>49</v>
      </c>
      <c r="H37" s="5" t="s">
        <v>159</v>
      </c>
      <c r="I37" s="5" t="s">
        <v>155</v>
      </c>
      <c r="J37" s="5" t="s">
        <v>156</v>
      </c>
      <c r="K37" s="8" t="s">
        <v>26</v>
      </c>
      <c r="L37" s="8" t="s">
        <v>27</v>
      </c>
      <c r="M37" s="5">
        <v>1</v>
      </c>
      <c r="N37" s="5">
        <v>301</v>
      </c>
      <c r="O37" s="5">
        <v>1</v>
      </c>
      <c r="P37" s="5">
        <v>1</v>
      </c>
      <c r="Q37" s="5" t="s">
        <v>157</v>
      </c>
      <c r="R37" s="5">
        <v>1</v>
      </c>
      <c r="S37" s="5">
        <v>1350</v>
      </c>
    </row>
    <row r="38" spans="1:19">
      <c r="A38" s="5" t="s">
        <v>160</v>
      </c>
      <c r="B38" s="5" t="s">
        <v>161</v>
      </c>
      <c r="C38" s="6">
        <v>45943</v>
      </c>
      <c r="D38" s="5"/>
      <c r="E38" s="5" t="str">
        <f t="shared" si="0"/>
        <v>手术刀头类</v>
      </c>
      <c r="F38" s="5" t="s">
        <v>162</v>
      </c>
      <c r="G38" s="5" t="s">
        <v>49</v>
      </c>
      <c r="H38" s="5" t="s">
        <v>163</v>
      </c>
      <c r="I38" s="5" t="s">
        <v>164</v>
      </c>
      <c r="J38" s="5" t="s">
        <v>165</v>
      </c>
      <c r="K38" s="8" t="s">
        <v>26</v>
      </c>
      <c r="L38" s="8" t="s">
        <v>53</v>
      </c>
      <c r="M38" s="5">
        <v>0</v>
      </c>
      <c r="N38" s="5">
        <v>301</v>
      </c>
      <c r="O38" s="5">
        <v>1</v>
      </c>
      <c r="P38" s="5">
        <v>1</v>
      </c>
      <c r="Q38" s="5"/>
      <c r="R38" s="5">
        <v>1</v>
      </c>
      <c r="S38" s="5">
        <v>0</v>
      </c>
    </row>
    <row r="39" spans="1:19">
      <c r="A39" s="5" t="s">
        <v>166</v>
      </c>
      <c r="B39" s="5" t="s">
        <v>161</v>
      </c>
      <c r="C39" s="6">
        <v>45943</v>
      </c>
      <c r="D39" s="5"/>
      <c r="E39" s="5" t="str">
        <f t="shared" si="0"/>
        <v>手术刀头类</v>
      </c>
      <c r="F39" s="5" t="s">
        <v>162</v>
      </c>
      <c r="G39" s="5" t="s">
        <v>49</v>
      </c>
      <c r="H39" s="5" t="s">
        <v>167</v>
      </c>
      <c r="I39" s="5" t="s">
        <v>168</v>
      </c>
      <c r="J39" s="5" t="s">
        <v>104</v>
      </c>
      <c r="K39" s="8" t="s">
        <v>26</v>
      </c>
      <c r="L39" s="8" t="s">
        <v>53</v>
      </c>
      <c r="M39" s="5">
        <v>0</v>
      </c>
      <c r="N39" s="5">
        <v>301</v>
      </c>
      <c r="O39" s="5">
        <v>1</v>
      </c>
      <c r="P39" s="5">
        <v>1</v>
      </c>
      <c r="Q39" s="5"/>
      <c r="R39" s="5">
        <v>1</v>
      </c>
      <c r="S39" s="5">
        <v>0</v>
      </c>
    </row>
    <row r="40" spans="1:19">
      <c r="A40" s="5" t="s">
        <v>169</v>
      </c>
      <c r="B40" s="5" t="s">
        <v>161</v>
      </c>
      <c r="C40" s="6">
        <v>45943</v>
      </c>
      <c r="D40" s="5"/>
      <c r="E40" s="5" t="str">
        <f t="shared" si="0"/>
        <v>手术刀头类</v>
      </c>
      <c r="F40" s="5" t="s">
        <v>162</v>
      </c>
      <c r="G40" s="5" t="s">
        <v>49</v>
      </c>
      <c r="H40" s="5" t="s">
        <v>170</v>
      </c>
      <c r="I40" s="5" t="s">
        <v>168</v>
      </c>
      <c r="J40" s="5" t="s">
        <v>165</v>
      </c>
      <c r="K40" s="8" t="s">
        <v>26</v>
      </c>
      <c r="L40" s="8" t="s">
        <v>53</v>
      </c>
      <c r="M40" s="5">
        <v>0</v>
      </c>
      <c r="N40" s="5">
        <v>301</v>
      </c>
      <c r="O40" s="5">
        <v>1</v>
      </c>
      <c r="P40" s="5">
        <v>1</v>
      </c>
      <c r="Q40" s="5"/>
      <c r="R40" s="5">
        <v>1</v>
      </c>
      <c r="S40" s="5">
        <v>0</v>
      </c>
    </row>
    <row r="41" spans="1:19">
      <c r="A41" s="5" t="s">
        <v>171</v>
      </c>
      <c r="B41" s="5" t="s">
        <v>172</v>
      </c>
      <c r="C41" s="6">
        <v>45943</v>
      </c>
      <c r="D41" s="5"/>
      <c r="E41" s="5" t="str">
        <f t="shared" si="0"/>
        <v>引流装置类</v>
      </c>
      <c r="F41" s="5" t="s">
        <v>173</v>
      </c>
      <c r="G41" s="5" t="s">
        <v>49</v>
      </c>
      <c r="H41" s="5" t="s">
        <v>174</v>
      </c>
      <c r="I41" s="5" t="s">
        <v>175</v>
      </c>
      <c r="J41" s="5" t="s">
        <v>176</v>
      </c>
      <c r="K41" s="8" t="s">
        <v>26</v>
      </c>
      <c r="L41" s="8" t="s">
        <v>27</v>
      </c>
      <c r="M41" s="5">
        <v>0</v>
      </c>
      <c r="N41" s="5">
        <v>301</v>
      </c>
      <c r="O41" s="5">
        <v>1</v>
      </c>
      <c r="P41" s="5">
        <v>1</v>
      </c>
      <c r="Q41" s="5"/>
      <c r="R41" s="5">
        <v>1</v>
      </c>
      <c r="S41" s="5">
        <v>1000</v>
      </c>
    </row>
    <row r="42" spans="1:19">
      <c r="A42" s="5" t="s">
        <v>177</v>
      </c>
      <c r="B42" s="5" t="s">
        <v>178</v>
      </c>
      <c r="C42" s="6">
        <v>45943</v>
      </c>
      <c r="D42" s="5"/>
      <c r="E42" s="5" t="str">
        <f t="shared" si="0"/>
        <v>止血材料类</v>
      </c>
      <c r="F42" s="5" t="s">
        <v>179</v>
      </c>
      <c r="G42" s="5" t="s">
        <v>49</v>
      </c>
      <c r="H42" s="5" t="s">
        <v>180</v>
      </c>
      <c r="I42" s="5" t="s">
        <v>181</v>
      </c>
      <c r="J42" s="5" t="s">
        <v>182</v>
      </c>
      <c r="K42" s="8" t="s">
        <v>26</v>
      </c>
      <c r="L42" s="8" t="s">
        <v>53</v>
      </c>
      <c r="M42" s="5">
        <v>0</v>
      </c>
      <c r="N42" s="5">
        <v>301</v>
      </c>
      <c r="O42" s="5">
        <v>1</v>
      </c>
      <c r="P42" s="5">
        <v>1</v>
      </c>
      <c r="Q42" s="5"/>
      <c r="R42" s="5">
        <v>1</v>
      </c>
      <c r="S42" s="5">
        <v>0</v>
      </c>
    </row>
    <row r="43" spans="1:19">
      <c r="A43" s="5" t="s">
        <v>183</v>
      </c>
      <c r="B43" s="5" t="s">
        <v>184</v>
      </c>
      <c r="C43" s="6">
        <v>45943</v>
      </c>
      <c r="D43" s="5"/>
      <c r="E43" s="5" t="str">
        <f t="shared" si="0"/>
        <v>敷料类</v>
      </c>
      <c r="F43" s="5" t="s">
        <v>185</v>
      </c>
      <c r="G43" s="5" t="s">
        <v>49</v>
      </c>
      <c r="H43" s="5" t="s">
        <v>74</v>
      </c>
      <c r="I43" s="5" t="s">
        <v>186</v>
      </c>
      <c r="J43" s="5" t="s">
        <v>187</v>
      </c>
      <c r="K43" s="8" t="s">
        <v>26</v>
      </c>
      <c r="L43" s="8" t="s">
        <v>53</v>
      </c>
      <c r="M43" s="5">
        <v>0</v>
      </c>
      <c r="N43" s="5">
        <v>301</v>
      </c>
      <c r="O43" s="5">
        <v>1</v>
      </c>
      <c r="P43" s="5">
        <v>1</v>
      </c>
      <c r="Q43" s="5"/>
      <c r="R43" s="5">
        <v>1</v>
      </c>
      <c r="S43" s="5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workbookViewId="0">
      <selection activeCell="D11" sqref="D11"/>
    </sheetView>
  </sheetViews>
  <sheetFormatPr defaultColWidth="9" defaultRowHeight="14.25" outlineLevelRow="6"/>
  <cols>
    <col min="4" max="4" width="10.375"/>
  </cols>
  <sheetData>
    <row r="1" ht="15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spans="1:19">
      <c r="A2" s="2" t="s">
        <v>188</v>
      </c>
      <c r="B2" s="2" t="s">
        <v>189</v>
      </c>
      <c r="C2" s="3">
        <v>44974</v>
      </c>
      <c r="D2" s="3">
        <v>45959</v>
      </c>
      <c r="E2" s="2" t="s">
        <v>189</v>
      </c>
      <c r="F2" s="2" t="s">
        <v>190</v>
      </c>
      <c r="G2" s="2" t="s">
        <v>189</v>
      </c>
      <c r="H2" s="2" t="s">
        <v>191</v>
      </c>
      <c r="I2" s="2" t="s">
        <v>192</v>
      </c>
      <c r="J2" s="2" t="s">
        <v>193</v>
      </c>
      <c r="K2" s="2" t="s">
        <v>26</v>
      </c>
      <c r="L2" s="2" t="s">
        <v>53</v>
      </c>
      <c r="M2" s="2" t="s">
        <v>194</v>
      </c>
      <c r="N2" s="2" t="s">
        <v>195</v>
      </c>
      <c r="O2" s="2" t="s">
        <v>196</v>
      </c>
      <c r="P2" s="2" t="s">
        <v>196</v>
      </c>
      <c r="Q2" s="2"/>
      <c r="R2" s="2" t="s">
        <v>196</v>
      </c>
      <c r="S2" s="2" t="s">
        <v>194</v>
      </c>
    </row>
    <row r="3" ht="15.75" spans="1:19">
      <c r="A3" s="2" t="s">
        <v>197</v>
      </c>
      <c r="B3" s="2" t="s">
        <v>189</v>
      </c>
      <c r="C3" s="3">
        <v>44974</v>
      </c>
      <c r="D3" s="3">
        <v>45959</v>
      </c>
      <c r="E3" s="2" t="s">
        <v>189</v>
      </c>
      <c r="F3" s="2" t="s">
        <v>190</v>
      </c>
      <c r="G3" s="2" t="s">
        <v>189</v>
      </c>
      <c r="H3" s="2" t="s">
        <v>191</v>
      </c>
      <c r="I3" s="2" t="s">
        <v>192</v>
      </c>
      <c r="J3" s="2" t="s">
        <v>198</v>
      </c>
      <c r="K3" s="2" t="s">
        <v>26</v>
      </c>
      <c r="L3" s="2" t="s">
        <v>53</v>
      </c>
      <c r="M3" s="2" t="s">
        <v>194</v>
      </c>
      <c r="N3" s="2" t="s">
        <v>195</v>
      </c>
      <c r="O3" s="2" t="s">
        <v>196</v>
      </c>
      <c r="P3" s="2" t="s">
        <v>196</v>
      </c>
      <c r="Q3" s="2"/>
      <c r="R3" s="2" t="s">
        <v>196</v>
      </c>
      <c r="S3" s="2" t="s">
        <v>194</v>
      </c>
    </row>
    <row r="4" ht="15.75" spans="1:19">
      <c r="A4" s="2" t="s">
        <v>199</v>
      </c>
      <c r="B4" s="2" t="s">
        <v>189</v>
      </c>
      <c r="C4" s="3">
        <v>44974</v>
      </c>
      <c r="D4" s="3">
        <v>45959</v>
      </c>
      <c r="E4" s="2" t="s">
        <v>189</v>
      </c>
      <c r="F4" s="2" t="s">
        <v>190</v>
      </c>
      <c r="G4" s="2" t="s">
        <v>189</v>
      </c>
      <c r="H4" s="2" t="s">
        <v>200</v>
      </c>
      <c r="I4" s="2" t="s">
        <v>192</v>
      </c>
      <c r="J4" s="2" t="s">
        <v>201</v>
      </c>
      <c r="K4" s="2" t="s">
        <v>26</v>
      </c>
      <c r="L4" s="2" t="s">
        <v>53</v>
      </c>
      <c r="M4" s="2" t="s">
        <v>194</v>
      </c>
      <c r="N4" s="2" t="s">
        <v>195</v>
      </c>
      <c r="O4" s="2" t="s">
        <v>196</v>
      </c>
      <c r="P4" s="2" t="s">
        <v>196</v>
      </c>
      <c r="Q4" s="2"/>
      <c r="R4" s="2" t="s">
        <v>196</v>
      </c>
      <c r="S4" s="2" t="s">
        <v>194</v>
      </c>
    </row>
    <row r="5" ht="15.75" spans="1:19">
      <c r="A5" s="2" t="s">
        <v>202</v>
      </c>
      <c r="B5" s="2" t="s">
        <v>189</v>
      </c>
      <c r="C5" s="3">
        <v>44974</v>
      </c>
      <c r="D5" s="3">
        <v>45959</v>
      </c>
      <c r="E5" s="2" t="s">
        <v>189</v>
      </c>
      <c r="F5" s="2" t="s">
        <v>190</v>
      </c>
      <c r="G5" s="2" t="s">
        <v>189</v>
      </c>
      <c r="H5" s="2" t="s">
        <v>200</v>
      </c>
      <c r="I5" s="2" t="s">
        <v>192</v>
      </c>
      <c r="J5" s="2" t="s">
        <v>198</v>
      </c>
      <c r="K5" s="2" t="s">
        <v>26</v>
      </c>
      <c r="L5" s="2" t="s">
        <v>53</v>
      </c>
      <c r="M5" s="2" t="s">
        <v>194</v>
      </c>
      <c r="N5" s="2" t="s">
        <v>195</v>
      </c>
      <c r="O5" s="2" t="s">
        <v>196</v>
      </c>
      <c r="P5" s="2" t="s">
        <v>196</v>
      </c>
      <c r="Q5" s="2"/>
      <c r="R5" s="2" t="s">
        <v>196</v>
      </c>
      <c r="S5" s="2" t="s">
        <v>194</v>
      </c>
    </row>
    <row r="6" ht="15.75" spans="1:19">
      <c r="A6" s="2" t="s">
        <v>203</v>
      </c>
      <c r="B6" s="2" t="s">
        <v>189</v>
      </c>
      <c r="C6" s="3">
        <v>44974</v>
      </c>
      <c r="D6" s="3">
        <v>45959</v>
      </c>
      <c r="E6" s="2" t="s">
        <v>189</v>
      </c>
      <c r="F6" s="2" t="s">
        <v>190</v>
      </c>
      <c r="G6" s="2" t="s">
        <v>189</v>
      </c>
      <c r="H6" s="2" t="s">
        <v>191</v>
      </c>
      <c r="I6" s="2" t="s">
        <v>192</v>
      </c>
      <c r="J6" s="2" t="s">
        <v>204</v>
      </c>
      <c r="K6" s="2" t="s">
        <v>26</v>
      </c>
      <c r="L6" s="2" t="s">
        <v>53</v>
      </c>
      <c r="M6" s="2" t="s">
        <v>194</v>
      </c>
      <c r="N6" s="2" t="s">
        <v>195</v>
      </c>
      <c r="O6" s="2" t="s">
        <v>196</v>
      </c>
      <c r="P6" s="2" t="s">
        <v>196</v>
      </c>
      <c r="Q6" s="2"/>
      <c r="R6" s="2" t="s">
        <v>196</v>
      </c>
      <c r="S6" s="2" t="s">
        <v>194</v>
      </c>
    </row>
    <row r="7" ht="15.75" spans="1:19">
      <c r="A7" s="2" t="s">
        <v>205</v>
      </c>
      <c r="B7" s="2" t="s">
        <v>206</v>
      </c>
      <c r="C7" s="3">
        <v>44974</v>
      </c>
      <c r="D7" s="3">
        <v>45959</v>
      </c>
      <c r="E7" s="2" t="s">
        <v>206</v>
      </c>
      <c r="F7" s="2" t="s">
        <v>207</v>
      </c>
      <c r="G7" s="2" t="s">
        <v>206</v>
      </c>
      <c r="H7" s="2" t="s">
        <v>52</v>
      </c>
      <c r="I7" s="2" t="s">
        <v>208</v>
      </c>
      <c r="J7" s="2" t="s">
        <v>209</v>
      </c>
      <c r="K7" s="2" t="s">
        <v>26</v>
      </c>
      <c r="L7" s="2" t="s">
        <v>53</v>
      </c>
      <c r="M7" s="2" t="s">
        <v>194</v>
      </c>
      <c r="N7" s="2" t="s">
        <v>195</v>
      </c>
      <c r="O7" s="2" t="s">
        <v>196</v>
      </c>
      <c r="P7" s="2" t="s">
        <v>196</v>
      </c>
      <c r="Q7" s="2"/>
      <c r="R7" s="2" t="s">
        <v>196</v>
      </c>
      <c r="S7" s="2" t="s">
        <v>194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新增42</vt:lpstr>
      <vt:lpstr>停用6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2018-05-26T11:28:00Z</dcterms:created>
  <dcterms:modified xsi:type="dcterms:W3CDTF">2025-10-29T14:57:31Z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96E0374A15D6EC3B6D97F868563B6D49_42</vt:lpwstr>
  </property>
  <property fmtid="{D5CDD505-2E9C-101B-9397-08002B2CF9AE}" pid="3" name="KSOProductBuildVer">
    <vt:lpwstr>2052-12.8.2.15091</vt:lpwstr>
  </property>
</Properties>
</file>